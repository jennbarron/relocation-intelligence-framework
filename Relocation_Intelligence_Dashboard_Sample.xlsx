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 Scoring Data" sheetId="1" r:id="rId5"/>
    <sheet state="visible" name="Dashboard Summary" sheetId="2" r:id="rId6"/>
    <sheet state="visible" name="Priority Weights" sheetId="3" r:id="rId7"/>
  </sheets>
  <definedNames/>
  <calcPr/>
</workbook>
</file>

<file path=xl/sharedStrings.xml><?xml version="1.0" encoding="utf-8"?>
<sst xmlns="http://schemas.openxmlformats.org/spreadsheetml/2006/main" count="136" uniqueCount="98">
  <si>
    <t>Relocation Intelligence Dashboard — Weighted Family Scoring Framework</t>
  </si>
  <si>
    <t>Scores 1–10 (10 = best). Safety &amp; Family Security weighted at 25% — family's #1 priority. Healthcare at 15% — reflects pediatric specialty access needs.</t>
  </si>
  <si>
    <t>City</t>
  </si>
  <si>
    <t>Safety &amp; Family Security</t>
  </si>
  <si>
    <t>Healthcare Access</t>
  </si>
  <si>
    <t>Median Rent ($)</t>
  </si>
  <si>
    <t>School Rating</t>
  </si>
  <si>
    <t>Job Market</t>
  </si>
  <si>
    <t>Cost of Living</t>
  </si>
  <si>
    <t>Remote Work Culture</t>
  </si>
  <si>
    <t>Weather Risk</t>
  </si>
  <si>
    <t>Cultural Fit</t>
  </si>
  <si>
    <t>Weighted Score</t>
  </si>
  <si>
    <t>Rank</t>
  </si>
  <si>
    <t>Weight →</t>
  </si>
  <si>
    <t>Dallas-Fort Worth, TX</t>
  </si>
  <si>
    <t>Austin, TX</t>
  </si>
  <si>
    <t>Houston, TX</t>
  </si>
  <si>
    <t>Research Triangle, NC</t>
  </si>
  <si>
    <t>Charlotte, NC</t>
  </si>
  <si>
    <t>Maryland/DC Metro</t>
  </si>
  <si>
    <t>Central Florida (Orlando)</t>
  </si>
  <si>
    <t>Philadelphia, PA</t>
  </si>
  <si>
    <t>Nashville, TN</t>
  </si>
  <si>
    <t>Memphis, TN</t>
  </si>
  <si>
    <t>San Angelo, TX</t>
  </si>
  <si>
    <t>Relocation Intelligence — Family Decision Summary</t>
  </si>
  <si>
    <t>Ranked by weighted family score. Safety (25%) and Healthcare (15%) are top weighted factors reflecting real family priorities.</t>
  </si>
  <si>
    <t>Family Strength</t>
  </si>
  <si>
    <t>Key Concern</t>
  </si>
  <si>
    <t>Rent Range</t>
  </si>
  <si>
    <t>Healthcare</t>
  </si>
  <si>
    <t>Verdict</t>
  </si>
  <si>
    <t>Safety + top healthcare</t>
  </si>
  <si>
    <t>Rising demand</t>
  </si>
  <si>
    <t>$1,500-1,900</t>
  </si>
  <si>
    <t>Excellent</t>
  </si>
  <si>
    <t>✅ Top Pick</t>
  </si>
  <si>
    <t>Balanced — strong safety</t>
  </si>
  <si>
    <t>Rapid growth</t>
  </si>
  <si>
    <t>$1,600-2,000</t>
  </si>
  <si>
    <t>Strong</t>
  </si>
  <si>
    <t>Culture + remote friendly</t>
  </si>
  <si>
    <t>Crime trending up</t>
  </si>
  <si>
    <t>$1,700-2,100</t>
  </si>
  <si>
    <t>✅ Heart says yes</t>
  </si>
  <si>
    <t>Best healthcare density</t>
  </si>
  <si>
    <t>Very high COL</t>
  </si>
  <si>
    <t>$2,200-2,800</t>
  </si>
  <si>
    <t>⚠️ Budget check</t>
  </si>
  <si>
    <t>Jobs + remote culture</t>
  </si>
  <si>
    <t>Traffic + sprawl</t>
  </si>
  <si>
    <t>$1,600-2,100</t>
  </si>
  <si>
    <t>✅ Solid choice</t>
  </si>
  <si>
    <t>Remote + job market</t>
  </si>
  <si>
    <t>COL rising fast</t>
  </si>
  <si>
    <t>$1,900-2,400</t>
  </si>
  <si>
    <t>Cost balance</t>
  </si>
  <si>
    <t>Weather/hurricane risk</t>
  </si>
  <si>
    <t>Moderate</t>
  </si>
  <si>
    <t>⚠️ Research more</t>
  </si>
  <si>
    <t>Affordability</t>
  </si>
  <si>
    <t>Flooding + safety</t>
  </si>
  <si>
    <t>✅ Consider</t>
  </si>
  <si>
    <t>Healthcare access</t>
  </si>
  <si>
    <t>Crime + high COL</t>
  </si>
  <si>
    <t>$1,700-2,200</t>
  </si>
  <si>
    <t>Low cost only</t>
  </si>
  <si>
    <t>Very high crime</t>
  </si>
  <si>
    <t>$900-1,300</t>
  </si>
  <si>
    <t>Weak</t>
  </si>
  <si>
    <t>❌ Not recommended</t>
  </si>
  <si>
    <t>Familiar baseline</t>
  </si>
  <si>
    <t>Limited everything</t>
  </si>
  <si>
    <t>$800-1,100</t>
  </si>
  <si>
    <t>Very Weak</t>
  </si>
  <si>
    <t>❌ Baseline — leave</t>
  </si>
  <si>
    <t>Family Priority Weights — Adjust to Reflect YOUR Priorities</t>
  </si>
  <si>
    <t>Category</t>
  </si>
  <si>
    <t>Weight</t>
  </si>
  <si>
    <t>Why It Matters for This Family</t>
  </si>
  <si>
    <t>Your Notes</t>
  </si>
  <si>
    <t>25%</t>
  </si>
  <si>
    <t>Homeschool family — kids are home more. Crime + neighborhood safety = #1</t>
  </si>
  <si>
    <t>15%</t>
  </si>
  <si>
    <t>Pediatric specialty access critical. Distance to major children's hospital matters</t>
  </si>
  <si>
    <t>10%</t>
  </si>
  <si>
    <t>Determines real purchasing power after rent</t>
  </si>
  <si>
    <t>Direct monthly budget impact</t>
  </si>
  <si>
    <t>Homeschool co-op community, resources, and legal environment by state</t>
  </si>
  <si>
    <t>8%</t>
  </si>
  <si>
    <t>Remote-first — location less critical but local backup market matters</t>
  </si>
  <si>
    <t>Coworking spaces, remote-friendly infrastructure, community</t>
  </si>
  <si>
    <t>7%</t>
  </si>
  <si>
    <t>Severe weather disruption risk — especially with medical-complex child</t>
  </si>
  <si>
    <t>Long-term livability, community values, social integration</t>
  </si>
  <si>
    <t>TOTAL</t>
  </si>
  <si>
    <t>✅ Must equal 100% for accurate scoring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</si>
</sst>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10.0"/>
      <color rgb="FF333333"/>
      <name val="Arial"/>
    </font>
    <font>
      <sz val="10.0"/>
      <color rgb="FF333333"/>
      <name val="Arial"/>
    </font>
    <font>
      <b/>
      <sz val="10.0"/>
      <color rgb="FF0F6E56"/>
      <name val="Arial"/>
    </font>
    <font>
      <b/>
      <sz val="10.0"/>
      <color rgb="FF0C2340"/>
      <name val="Arial"/>
    </font>
    <font>
      <b/>
      <sz val="10.0"/>
      <color rgb="FF1D9E75"/>
      <name val="Arial"/>
    </font>
    <font>
      <b/>
      <sz val="10.0"/>
      <color rgb="FF276221"/>
      <name val="Arial"/>
    </font>
    <font>
      <b/>
      <sz val="10.0"/>
      <color rgb="FF9C5700"/>
      <name val="Arial"/>
    </font>
    <font>
      <b/>
      <sz val="10.0"/>
      <color rgb="FF085041"/>
      <name val="Arial"/>
    </font>
    <font>
      <b/>
      <sz val="10.0"/>
      <color rgb="FF9C0006"/>
      <name val="Arial"/>
    </font>
    <font>
      <b/>
      <sz val="13.0"/>
      <color rgb="FFFFFFFF"/>
      <name val="Arial"/>
    </font>
    <font>
      <b/>
      <sz val="10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C2340"/>
        <bgColor rgb="FF0C2340"/>
      </patternFill>
    </fill>
    <fill>
      <patternFill patternType="solid">
        <fgColor rgb="FF1D9E75"/>
        <bgColor rgb="FF1D9E75"/>
      </patternFill>
    </fill>
    <fill>
      <patternFill patternType="solid">
        <fgColor rgb="FF1A3550"/>
        <bgColor rgb="FF1A3550"/>
      </patternFill>
    </fill>
    <fill>
      <patternFill patternType="solid">
        <fgColor rgb="FF0F6E56"/>
        <bgColor rgb="FF0F6E56"/>
      </patternFill>
    </fill>
    <fill>
      <patternFill patternType="solid">
        <fgColor rgb="FFF5F4F1"/>
        <bgColor rgb="FFF5F4F1"/>
      </patternFill>
    </fill>
    <fill>
      <patternFill patternType="solid">
        <fgColor rgb="FFE1F5EE"/>
        <bgColor rgb="FFE1F5E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4" fontId="5" numFmtId="9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ill="1" applyFont="1">
      <alignment shrinkToFit="0" vertical="bottom" wrapText="0"/>
    </xf>
    <xf borderId="4" fillId="6" fontId="7" numFmtId="0" xfId="0" applyAlignment="1" applyBorder="1" applyFill="1" applyFont="1">
      <alignment horizontal="left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4" fillId="6" fontId="8" numFmtId="164" xfId="0" applyAlignment="1" applyBorder="1" applyFont="1" applyNumberFormat="1">
      <alignment horizontal="center" shrinkToFit="0" vertical="center" wrapText="0"/>
    </xf>
    <xf borderId="4" fillId="3" fontId="9" numFmtId="2" xfId="0" applyAlignment="1" applyBorder="1" applyFont="1" applyNumberFormat="1">
      <alignment horizontal="center" shrinkToFit="0" vertical="center" wrapText="0"/>
    </xf>
    <xf borderId="4" fillId="7" fontId="10" numFmtId="0" xfId="0" applyAlignment="1" applyBorder="1" applyFill="1" applyFont="1">
      <alignment horizontal="center" shrinkToFit="0" vertical="center" wrapText="0"/>
    </xf>
    <xf borderId="4" fillId="8" fontId="7" numFmtId="0" xfId="0" applyAlignment="1" applyBorder="1" applyFill="1" applyFont="1">
      <alignment horizontal="left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8" fontId="8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0"/>
    </xf>
    <xf borderId="4" fillId="8" fontId="8" numFmtId="0" xfId="0" applyAlignment="1" applyBorder="1" applyFont="1">
      <alignment horizontal="left" shrinkToFit="0" vertical="center" wrapText="0"/>
    </xf>
    <xf borderId="4" fillId="8" fontId="11" numFmtId="2" xfId="0" applyAlignment="1" applyBorder="1" applyFont="1" applyNumberFormat="1">
      <alignment horizontal="center" shrinkToFit="0" vertical="center" wrapText="0"/>
    </xf>
    <xf borderId="4" fillId="9" fontId="12" numFmtId="0" xfId="0" applyAlignment="1" applyBorder="1" applyFill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6" fontId="11" numFmtId="2" xfId="0" applyAlignment="1" applyBorder="1" applyFont="1" applyNumberFormat="1">
      <alignment horizontal="center" shrinkToFit="0" vertical="center" wrapText="0"/>
    </xf>
    <xf borderId="4" fillId="10" fontId="13" numFmtId="0" xfId="0" applyAlignment="1" applyBorder="1" applyFill="1" applyFont="1">
      <alignment horizontal="center" shrinkToFit="0" vertical="center" wrapText="0"/>
    </xf>
    <xf borderId="4" fillId="7" fontId="14" numFmtId="0" xfId="0" applyAlignment="1" applyBorder="1" applyFont="1">
      <alignment horizontal="center" shrinkToFit="0" vertical="center" wrapText="0"/>
    </xf>
    <xf borderId="4" fillId="11" fontId="15" numFmtId="0" xfId="0" applyAlignment="1" applyBorder="1" applyFill="1" applyFont="1">
      <alignment horizontal="center" shrinkToFit="0" vertical="center" wrapText="0"/>
    </xf>
    <xf borderId="1" fillId="2" fontId="16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2" fontId="17" numFmtId="0" xfId="0" applyAlignment="1" applyBorder="1" applyFont="1">
      <alignment horizontal="center" shrinkToFit="0" vertical="center" wrapText="0"/>
    </xf>
    <xf borderId="4" fillId="2" fontId="17" numFmtId="9" xfId="0" applyAlignment="1" applyBorder="1" applyFont="1" applyNumberFormat="1">
      <alignment horizontal="center" shrinkToFit="0" vertical="center" wrapText="0"/>
    </xf>
    <xf borderId="4" fillId="2" fontId="17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8.0"/>
    <col customWidth="1" min="2" max="10" width="14.0"/>
    <col customWidth="1" min="11" max="11" width="16.0"/>
    <col customWidth="1" min="12" max="12" width="8.0"/>
    <col customWidth="1" min="13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</row>
    <row r="4" ht="51.7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7" t="s">
        <v>12</v>
      </c>
      <c r="L4" s="7" t="s">
        <v>13</v>
      </c>
    </row>
    <row r="5" ht="19.5" customHeight="1">
      <c r="A5" s="8" t="s">
        <v>14</v>
      </c>
      <c r="B5" s="9">
        <v>0.25</v>
      </c>
      <c r="C5" s="9">
        <v>0.15</v>
      </c>
      <c r="D5" s="9">
        <v>0.1</v>
      </c>
      <c r="E5" s="9">
        <v>0.1</v>
      </c>
      <c r="F5" s="9">
        <v>0.08</v>
      </c>
      <c r="G5" s="9">
        <v>0.1</v>
      </c>
      <c r="H5" s="9">
        <v>0.08</v>
      </c>
      <c r="I5" s="9">
        <v>0.07</v>
      </c>
      <c r="J5" s="9">
        <v>0.07</v>
      </c>
      <c r="K5" s="10"/>
      <c r="L5" s="10"/>
    </row>
    <row r="6">
      <c r="A6" s="11" t="s">
        <v>15</v>
      </c>
      <c r="B6" s="12">
        <v>6.0</v>
      </c>
      <c r="C6" s="12">
        <v>8.0</v>
      </c>
      <c r="D6" s="13">
        <v>1850.0</v>
      </c>
      <c r="E6" s="12">
        <v>7.0</v>
      </c>
      <c r="F6" s="12">
        <v>9.0</v>
      </c>
      <c r="G6" s="12">
        <v>6.0</v>
      </c>
      <c r="H6" s="12">
        <v>8.0</v>
      </c>
      <c r="I6" s="12">
        <v>5.0</v>
      </c>
      <c r="J6" s="12">
        <v>7.0</v>
      </c>
      <c r="K6" s="14">
        <f t="shared" ref="K6:K16" si="1">ROUND(($B6*B$5)+($C6*C$5)+((10-(($D6-MIN($D$6:$D$16))/(MAX($D$6:$D$16)-MIN($D$6:$D$16))*9))*D$5)+($E6*E$5)+($F6*F$5)+((11-$G6)*G$5)+($H6*H$5)+($I6*I$5)+($J6*J$5),2)</f>
        <v>6.54</v>
      </c>
      <c r="L6" s="15">
        <f t="shared" ref="L6:L16" si="2">RANK(K6,K$6:K$16,0)</f>
        <v>6</v>
      </c>
    </row>
    <row r="7">
      <c r="A7" s="16" t="s">
        <v>16</v>
      </c>
      <c r="B7" s="17">
        <v>7.0</v>
      </c>
      <c r="C7" s="17">
        <v>8.0</v>
      </c>
      <c r="D7" s="18">
        <v>2100.0</v>
      </c>
      <c r="E7" s="17">
        <v>8.0</v>
      </c>
      <c r="F7" s="17">
        <v>9.0</v>
      </c>
      <c r="G7" s="17">
        <v>4.0</v>
      </c>
      <c r="H7" s="17">
        <v>9.0</v>
      </c>
      <c r="I7" s="17">
        <v>6.0</v>
      </c>
      <c r="J7" s="17">
        <v>8.0</v>
      </c>
      <c r="K7" s="14">
        <f t="shared" si="1"/>
        <v>7.16</v>
      </c>
      <c r="L7" s="15">
        <f t="shared" si="2"/>
        <v>2</v>
      </c>
    </row>
    <row r="8">
      <c r="A8" s="11" t="s">
        <v>17</v>
      </c>
      <c r="B8" s="12">
        <v>5.0</v>
      </c>
      <c r="C8" s="12">
        <v>8.0</v>
      </c>
      <c r="D8" s="13">
        <v>1700.0</v>
      </c>
      <c r="E8" s="12">
        <v>6.0</v>
      </c>
      <c r="F8" s="12">
        <v>8.0</v>
      </c>
      <c r="G8" s="12">
        <v>7.0</v>
      </c>
      <c r="H8" s="12">
        <v>7.0</v>
      </c>
      <c r="I8" s="12">
        <v>4.0</v>
      </c>
      <c r="J8" s="12">
        <v>7.0</v>
      </c>
      <c r="K8" s="14">
        <f t="shared" si="1"/>
        <v>5.95</v>
      </c>
      <c r="L8" s="15">
        <f t="shared" si="2"/>
        <v>9</v>
      </c>
    </row>
    <row r="9">
      <c r="A9" s="16" t="s">
        <v>18</v>
      </c>
      <c r="B9" s="17">
        <v>8.0</v>
      </c>
      <c r="C9" s="17">
        <v>9.0</v>
      </c>
      <c r="D9" s="18">
        <v>1650.0</v>
      </c>
      <c r="E9" s="17">
        <v>9.0</v>
      </c>
      <c r="F9" s="17">
        <v>8.0</v>
      </c>
      <c r="G9" s="17">
        <v>8.0</v>
      </c>
      <c r="H9" s="17">
        <v>9.0</v>
      </c>
      <c r="I9" s="17">
        <v>7.0</v>
      </c>
      <c r="J9" s="17">
        <v>8.0</v>
      </c>
      <c r="K9" s="14">
        <f t="shared" si="1"/>
        <v>7.53</v>
      </c>
      <c r="L9" s="15">
        <f t="shared" si="2"/>
        <v>1</v>
      </c>
    </row>
    <row r="10">
      <c r="A10" s="11" t="s">
        <v>19</v>
      </c>
      <c r="B10" s="12">
        <v>7.0</v>
      </c>
      <c r="C10" s="12">
        <v>8.0</v>
      </c>
      <c r="D10" s="13">
        <v>1750.0</v>
      </c>
      <c r="E10" s="12">
        <v>7.0</v>
      </c>
      <c r="F10" s="12">
        <v>8.0</v>
      </c>
      <c r="G10" s="12">
        <v>7.0</v>
      </c>
      <c r="H10" s="12">
        <v>8.0</v>
      </c>
      <c r="I10" s="12">
        <v>7.0</v>
      </c>
      <c r="J10" s="12">
        <v>7.0</v>
      </c>
      <c r="K10" s="14">
        <f t="shared" si="1"/>
        <v>6.81</v>
      </c>
      <c r="L10" s="15">
        <f t="shared" si="2"/>
        <v>4</v>
      </c>
    </row>
    <row r="11">
      <c r="A11" s="16" t="s">
        <v>20</v>
      </c>
      <c r="B11" s="17">
        <v>6.0</v>
      </c>
      <c r="C11" s="17">
        <v>9.0</v>
      </c>
      <c r="D11" s="18">
        <v>2400.0</v>
      </c>
      <c r="E11" s="17">
        <v>8.0</v>
      </c>
      <c r="F11" s="17">
        <v>9.0</v>
      </c>
      <c r="G11" s="17">
        <v>3.0</v>
      </c>
      <c r="H11" s="17">
        <v>9.0</v>
      </c>
      <c r="I11" s="17">
        <v>7.0</v>
      </c>
      <c r="J11" s="17">
        <v>8.0</v>
      </c>
      <c r="K11" s="14">
        <f t="shared" si="1"/>
        <v>7.04</v>
      </c>
      <c r="L11" s="15">
        <f t="shared" si="2"/>
        <v>3</v>
      </c>
    </row>
    <row r="12">
      <c r="A12" s="11" t="s">
        <v>21</v>
      </c>
      <c r="B12" s="12">
        <v>6.0</v>
      </c>
      <c r="C12" s="12">
        <v>7.0</v>
      </c>
      <c r="D12" s="13">
        <v>1800.0</v>
      </c>
      <c r="E12" s="12">
        <v>7.0</v>
      </c>
      <c r="F12" s="12">
        <v>7.0</v>
      </c>
      <c r="G12" s="12">
        <v>6.0</v>
      </c>
      <c r="H12" s="12">
        <v>7.0</v>
      </c>
      <c r="I12" s="12">
        <v>3.0</v>
      </c>
      <c r="J12" s="12">
        <v>7.0</v>
      </c>
      <c r="K12" s="14">
        <f t="shared" si="1"/>
        <v>6.04</v>
      </c>
      <c r="L12" s="15">
        <f t="shared" si="2"/>
        <v>8</v>
      </c>
    </row>
    <row r="13">
      <c r="A13" s="16" t="s">
        <v>22</v>
      </c>
      <c r="B13" s="17">
        <v>5.0</v>
      </c>
      <c r="C13" s="17">
        <v>8.0</v>
      </c>
      <c r="D13" s="18">
        <v>1950.0</v>
      </c>
      <c r="E13" s="17">
        <v>6.0</v>
      </c>
      <c r="F13" s="17">
        <v>7.0</v>
      </c>
      <c r="G13" s="17">
        <v>5.0</v>
      </c>
      <c r="H13" s="17">
        <v>7.0</v>
      </c>
      <c r="I13" s="17">
        <v>7.0</v>
      </c>
      <c r="J13" s="17">
        <v>7.0</v>
      </c>
      <c r="K13" s="14">
        <f t="shared" si="1"/>
        <v>6.13</v>
      </c>
      <c r="L13" s="15">
        <f t="shared" si="2"/>
        <v>7</v>
      </c>
    </row>
    <row r="14">
      <c r="A14" s="11" t="s">
        <v>23</v>
      </c>
      <c r="B14" s="12">
        <v>6.0</v>
      </c>
      <c r="C14" s="12">
        <v>8.0</v>
      </c>
      <c r="D14" s="13">
        <v>1900.0</v>
      </c>
      <c r="E14" s="12">
        <v>7.0</v>
      </c>
      <c r="F14" s="12">
        <v>8.0</v>
      </c>
      <c r="G14" s="12">
        <v>6.0</v>
      </c>
      <c r="H14" s="12">
        <v>8.0</v>
      </c>
      <c r="I14" s="12">
        <v>6.0</v>
      </c>
      <c r="J14" s="12">
        <v>9.0</v>
      </c>
      <c r="K14" s="14">
        <f t="shared" si="1"/>
        <v>6.64</v>
      </c>
      <c r="L14" s="15">
        <f t="shared" si="2"/>
        <v>5</v>
      </c>
    </row>
    <row r="15">
      <c r="A15" s="16" t="s">
        <v>24</v>
      </c>
      <c r="B15" s="17">
        <v>2.0</v>
      </c>
      <c r="C15" s="17">
        <v>5.0</v>
      </c>
      <c r="D15" s="18">
        <v>1100.0</v>
      </c>
      <c r="E15" s="17">
        <v>4.0</v>
      </c>
      <c r="F15" s="17">
        <v>5.0</v>
      </c>
      <c r="G15" s="17">
        <v>9.0</v>
      </c>
      <c r="H15" s="17">
        <v>4.0</v>
      </c>
      <c r="I15" s="17">
        <v>5.0</v>
      </c>
      <c r="J15" s="17">
        <v>4.0</v>
      </c>
      <c r="K15" s="14">
        <f t="shared" si="1"/>
        <v>4.11</v>
      </c>
      <c r="L15" s="15">
        <f t="shared" si="2"/>
        <v>11</v>
      </c>
    </row>
    <row r="16">
      <c r="A16" s="11" t="s">
        <v>25</v>
      </c>
      <c r="B16" s="12">
        <v>5.0</v>
      </c>
      <c r="C16" s="12">
        <v>4.0</v>
      </c>
      <c r="D16" s="13">
        <v>950.0</v>
      </c>
      <c r="E16" s="12">
        <v>6.0</v>
      </c>
      <c r="F16" s="12">
        <v>3.0</v>
      </c>
      <c r="G16" s="12">
        <v>9.0</v>
      </c>
      <c r="H16" s="12">
        <v>2.0</v>
      </c>
      <c r="I16" s="12">
        <v>6.0</v>
      </c>
      <c r="J16" s="12">
        <v>3.0</v>
      </c>
      <c r="K16" s="14">
        <f t="shared" si="1"/>
        <v>4.68</v>
      </c>
      <c r="L16" s="15">
        <f t="shared" si="2"/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6:B16">
    <cfRule type="colorScale" priority="1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C6:C16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E6:E16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F6:F16">
    <cfRule type="colorScale" priority="4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G6:G16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H6:H16">
    <cfRule type="colorScale" priority="6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I6:I16">
    <cfRule type="colorScale" priority="7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J6:J16">
    <cfRule type="colorScale" priority="8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K6:K16">
    <cfRule type="colorScale" priority="9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6.0"/>
    <col customWidth="1" min="3" max="3" width="16.0"/>
    <col customWidth="1" min="4" max="4" width="24.0"/>
    <col customWidth="1" min="5" max="5" width="22.0"/>
    <col customWidth="1" min="6" max="6" width="16.0"/>
    <col customWidth="1" min="7" max="7" width="14.0"/>
    <col customWidth="1" min="8" max="8" width="22.0"/>
    <col customWidth="1" min="9" max="26" width="8.71"/>
  </cols>
  <sheetData>
    <row r="1" ht="31.5" customHeight="1">
      <c r="A1" s="1" t="s">
        <v>26</v>
      </c>
      <c r="B1" s="2"/>
      <c r="C1" s="2"/>
      <c r="D1" s="2"/>
      <c r="E1" s="2"/>
      <c r="F1" s="2"/>
      <c r="G1" s="2"/>
      <c r="H1" s="3"/>
    </row>
    <row r="2" ht="15.75" customHeight="1">
      <c r="A2" s="19" t="s">
        <v>27</v>
      </c>
    </row>
    <row r="4" ht="36.0" customHeight="1">
      <c r="A4" s="6" t="s">
        <v>13</v>
      </c>
      <c r="B4" s="6" t="s">
        <v>2</v>
      </c>
      <c r="C4" s="20" t="s">
        <v>12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</row>
    <row r="5">
      <c r="A5" s="21">
        <v>1.0</v>
      </c>
      <c r="B5" s="22" t="s">
        <v>18</v>
      </c>
      <c r="C5" s="23">
        <f>IFERROR(VLOOKUP("Research Triangle, NC",'City Scoring Data'!$A$6:$K$16,10,0),"—")</f>
        <v>8</v>
      </c>
      <c r="D5" s="17" t="s">
        <v>33</v>
      </c>
      <c r="E5" s="17" t="s">
        <v>34</v>
      </c>
      <c r="F5" s="17" t="s">
        <v>35</v>
      </c>
      <c r="G5" s="17" t="s">
        <v>36</v>
      </c>
      <c r="H5" s="24" t="s">
        <v>37</v>
      </c>
    </row>
    <row r="6">
      <c r="A6" s="25">
        <v>2.0</v>
      </c>
      <c r="B6" s="26" t="s">
        <v>19</v>
      </c>
      <c r="C6" s="27">
        <f>IFERROR(VLOOKUP("Charlotte, NC",'City Scoring Data'!$A$6:$K$16,10,0),"—")</f>
        <v>7</v>
      </c>
      <c r="D6" s="12" t="s">
        <v>38</v>
      </c>
      <c r="E6" s="12" t="s">
        <v>39</v>
      </c>
      <c r="F6" s="12" t="s">
        <v>40</v>
      </c>
      <c r="G6" s="12" t="s">
        <v>41</v>
      </c>
      <c r="H6" s="24" t="s">
        <v>37</v>
      </c>
    </row>
    <row r="7">
      <c r="A7" s="21">
        <v>3.0</v>
      </c>
      <c r="B7" s="22" t="s">
        <v>23</v>
      </c>
      <c r="C7" s="23">
        <f>IFERROR(VLOOKUP("Nashville, TN",'City Scoring Data'!$A$6:$K$16,10,0),"—")</f>
        <v>9</v>
      </c>
      <c r="D7" s="17" t="s">
        <v>42</v>
      </c>
      <c r="E7" s="17" t="s">
        <v>43</v>
      </c>
      <c r="F7" s="17" t="s">
        <v>44</v>
      </c>
      <c r="G7" s="17" t="s">
        <v>41</v>
      </c>
      <c r="H7" s="24" t="s">
        <v>45</v>
      </c>
    </row>
    <row r="8">
      <c r="A8" s="25">
        <v>4.0</v>
      </c>
      <c r="B8" s="26" t="s">
        <v>20</v>
      </c>
      <c r="C8" s="27">
        <f>IFERROR(VLOOKUP("Maryland/DC Metro",'City Scoring Data'!$A$6:$K$16,10,0),"—")</f>
        <v>8</v>
      </c>
      <c r="D8" s="12" t="s">
        <v>46</v>
      </c>
      <c r="E8" s="12" t="s">
        <v>47</v>
      </c>
      <c r="F8" s="12" t="s">
        <v>48</v>
      </c>
      <c r="G8" s="12" t="s">
        <v>36</v>
      </c>
      <c r="H8" s="28" t="s">
        <v>49</v>
      </c>
    </row>
    <row r="9">
      <c r="A9" s="21">
        <v>5.0</v>
      </c>
      <c r="B9" s="22" t="s">
        <v>15</v>
      </c>
      <c r="C9" s="23">
        <f>IFERROR(VLOOKUP("Dallas-Fort Worth, TX",'City Scoring Data'!$A$6:$K$16,10,0),"—")</f>
        <v>7</v>
      </c>
      <c r="D9" s="17" t="s">
        <v>50</v>
      </c>
      <c r="E9" s="17" t="s">
        <v>51</v>
      </c>
      <c r="F9" s="17" t="s">
        <v>52</v>
      </c>
      <c r="G9" s="17" t="s">
        <v>41</v>
      </c>
      <c r="H9" s="24" t="s">
        <v>53</v>
      </c>
    </row>
    <row r="10">
      <c r="A10" s="25">
        <v>6.0</v>
      </c>
      <c r="B10" s="26" t="s">
        <v>16</v>
      </c>
      <c r="C10" s="27">
        <f>IFERROR(VLOOKUP("Austin, TX",'City Scoring Data'!$A$6:$K$16,10,0),"—")</f>
        <v>8</v>
      </c>
      <c r="D10" s="12" t="s">
        <v>54</v>
      </c>
      <c r="E10" s="12" t="s">
        <v>55</v>
      </c>
      <c r="F10" s="12" t="s">
        <v>56</v>
      </c>
      <c r="G10" s="12" t="s">
        <v>41</v>
      </c>
      <c r="H10" s="28" t="s">
        <v>49</v>
      </c>
    </row>
    <row r="11">
      <c r="A11" s="21">
        <v>7.0</v>
      </c>
      <c r="B11" s="22" t="s">
        <v>21</v>
      </c>
      <c r="C11" s="23">
        <f>IFERROR(VLOOKUP("Central Florida (Orlando)",'City Scoring Data'!$A$6:$K$16,10,0),"—")</f>
        <v>7</v>
      </c>
      <c r="D11" s="17" t="s">
        <v>57</v>
      </c>
      <c r="E11" s="17" t="s">
        <v>58</v>
      </c>
      <c r="F11" s="17" t="s">
        <v>40</v>
      </c>
      <c r="G11" s="17" t="s">
        <v>59</v>
      </c>
      <c r="H11" s="28" t="s">
        <v>60</v>
      </c>
    </row>
    <row r="12">
      <c r="A12" s="25">
        <v>8.0</v>
      </c>
      <c r="B12" s="26" t="s">
        <v>17</v>
      </c>
      <c r="C12" s="27">
        <f>IFERROR(VLOOKUP("Houston, TX",'City Scoring Data'!$A$6:$K$16,10,0),"—")</f>
        <v>7</v>
      </c>
      <c r="D12" s="12" t="s">
        <v>61</v>
      </c>
      <c r="E12" s="12" t="s">
        <v>62</v>
      </c>
      <c r="F12" s="12" t="s">
        <v>35</v>
      </c>
      <c r="G12" s="12" t="s">
        <v>41</v>
      </c>
      <c r="H12" s="29" t="s">
        <v>63</v>
      </c>
    </row>
    <row r="13">
      <c r="A13" s="21">
        <v>9.0</v>
      </c>
      <c r="B13" s="22" t="s">
        <v>22</v>
      </c>
      <c r="C13" s="23">
        <f>IFERROR(VLOOKUP("Philadelphia, PA",'City Scoring Data'!$A$6:$K$16,10,0),"—")</f>
        <v>7</v>
      </c>
      <c r="D13" s="17" t="s">
        <v>64</v>
      </c>
      <c r="E13" s="17" t="s">
        <v>65</v>
      </c>
      <c r="F13" s="17" t="s">
        <v>66</v>
      </c>
      <c r="G13" s="17" t="s">
        <v>41</v>
      </c>
      <c r="H13" s="28" t="s">
        <v>60</v>
      </c>
    </row>
    <row r="14">
      <c r="A14" s="25">
        <v>10.0</v>
      </c>
      <c r="B14" s="26" t="s">
        <v>24</v>
      </c>
      <c r="C14" s="27">
        <f>IFERROR(VLOOKUP("Memphis, TN",'City Scoring Data'!$A$6:$K$16,10,0),"—")</f>
        <v>4</v>
      </c>
      <c r="D14" s="12" t="s">
        <v>67</v>
      </c>
      <c r="E14" s="12" t="s">
        <v>68</v>
      </c>
      <c r="F14" s="12" t="s">
        <v>69</v>
      </c>
      <c r="G14" s="12" t="s">
        <v>70</v>
      </c>
      <c r="H14" s="30" t="s">
        <v>71</v>
      </c>
    </row>
    <row r="15">
      <c r="A15" s="21">
        <v>11.0</v>
      </c>
      <c r="B15" s="22" t="s">
        <v>25</v>
      </c>
      <c r="C15" s="23">
        <f>IFERROR(VLOOKUP("San Angelo, TX",'City Scoring Data'!$A$6:$K$16,10,0),"—")</f>
        <v>3</v>
      </c>
      <c r="D15" s="17" t="s">
        <v>72</v>
      </c>
      <c r="E15" s="17" t="s">
        <v>73</v>
      </c>
      <c r="F15" s="17" t="s">
        <v>74</v>
      </c>
      <c r="G15" s="17" t="s">
        <v>75</v>
      </c>
      <c r="H15" s="30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3" width="50.0"/>
    <col customWidth="1" min="4" max="4" width="30.0"/>
    <col customWidth="1" min="5" max="26" width="8.71"/>
  </cols>
  <sheetData>
    <row r="1" ht="30.0" customHeight="1">
      <c r="A1" s="31" t="s">
        <v>77</v>
      </c>
      <c r="B1" s="2"/>
      <c r="C1" s="2"/>
      <c r="D1" s="3"/>
    </row>
    <row r="3" ht="24.0" customHeight="1">
      <c r="A3" s="7" t="s">
        <v>78</v>
      </c>
      <c r="B3" s="7" t="s">
        <v>79</v>
      </c>
      <c r="C3" s="7" t="s">
        <v>80</v>
      </c>
      <c r="D3" s="7" t="s">
        <v>81</v>
      </c>
    </row>
    <row r="4" ht="36.0" customHeight="1">
      <c r="A4" s="32" t="s">
        <v>3</v>
      </c>
      <c r="B4" s="33" t="s">
        <v>82</v>
      </c>
      <c r="C4" s="34" t="s">
        <v>83</v>
      </c>
      <c r="D4" s="34"/>
    </row>
    <row r="5" ht="36.0" customHeight="1">
      <c r="A5" s="35" t="s">
        <v>4</v>
      </c>
      <c r="B5" s="36" t="s">
        <v>84</v>
      </c>
      <c r="C5" s="37" t="s">
        <v>85</v>
      </c>
      <c r="D5" s="37"/>
    </row>
    <row r="6" ht="36.0" customHeight="1">
      <c r="A6" s="32" t="s">
        <v>8</v>
      </c>
      <c r="B6" s="33" t="s">
        <v>86</v>
      </c>
      <c r="C6" s="34" t="s">
        <v>87</v>
      </c>
      <c r="D6" s="34"/>
    </row>
    <row r="7" ht="36.0" customHeight="1">
      <c r="A7" s="35" t="s">
        <v>5</v>
      </c>
      <c r="B7" s="36" t="s">
        <v>86</v>
      </c>
      <c r="C7" s="37" t="s">
        <v>88</v>
      </c>
      <c r="D7" s="37"/>
    </row>
    <row r="8" ht="36.0" customHeight="1">
      <c r="A8" s="32" t="s">
        <v>6</v>
      </c>
      <c r="B8" s="33" t="s">
        <v>86</v>
      </c>
      <c r="C8" s="34" t="s">
        <v>89</v>
      </c>
      <c r="D8" s="34"/>
    </row>
    <row r="9" ht="36.0" customHeight="1">
      <c r="A9" s="35" t="s">
        <v>7</v>
      </c>
      <c r="B9" s="36" t="s">
        <v>90</v>
      </c>
      <c r="C9" s="37" t="s">
        <v>91</v>
      </c>
      <c r="D9" s="37"/>
    </row>
    <row r="10" ht="36.0" customHeight="1">
      <c r="A10" s="32" t="s">
        <v>9</v>
      </c>
      <c r="B10" s="33" t="s">
        <v>90</v>
      </c>
      <c r="C10" s="34" t="s">
        <v>92</v>
      </c>
      <c r="D10" s="34"/>
    </row>
    <row r="11" ht="36.0" customHeight="1">
      <c r="A11" s="35" t="s">
        <v>10</v>
      </c>
      <c r="B11" s="36" t="s">
        <v>93</v>
      </c>
      <c r="C11" s="37" t="s">
        <v>94</v>
      </c>
      <c r="D11" s="37"/>
    </row>
    <row r="12" ht="36.0" customHeight="1">
      <c r="A12" s="32" t="s">
        <v>11</v>
      </c>
      <c r="B12" s="33" t="s">
        <v>93</v>
      </c>
      <c r="C12" s="34" t="s">
        <v>95</v>
      </c>
      <c r="D12" s="34"/>
    </row>
    <row r="13" ht="36.0" customHeight="1">
      <c r="A13" s="38" t="s">
        <v>96</v>
      </c>
      <c r="B13" s="39">
        <f>SUM(B4:B12)</f>
        <v>0</v>
      </c>
      <c r="C13" s="40" t="s">
        <v>97</v>
      </c>
      <c r="D13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